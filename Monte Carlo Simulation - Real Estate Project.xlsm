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Study\VBA\Course 3\Week 4\"/>
    </mc:Choice>
  </mc:AlternateContent>
  <xr:revisionPtr revIDLastSave="0" documentId="13_ncr:1_{6CEDF766-39D0-4376-A2E3-684F7CE2FA58}" xr6:coauthVersionLast="47" xr6:coauthVersionMax="47" xr10:uidLastSave="{00000000-0000-0000-0000-000000000000}"/>
  <bookViews>
    <workbookView xWindow="-110" yWindow="-110" windowWidth="19420" windowHeight="12220" activeTab="1" xr2:uid="{00000000-000D-0000-FFFF-FFFF00000000}"/>
  </bookViews>
  <sheets>
    <sheet name="Main" sheetId="1" r:id="rId1"/>
    <sheet name="Histogram" sheetId="62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<sst xmlns="http://schemas.openxmlformats.org/spreadsheetml/2006/main" count="29" uniqueCount="24">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</sst>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0</c:v>
                </c:pt>
                <c:pt idx="1">
                  <c:v>-57</c:v>
                </c:pt>
                <c:pt idx="2">
                  <c:v>-51</c:v>
                </c:pt>
                <c:pt idx="3">
                  <c:v>-45</c:v>
                </c:pt>
                <c:pt idx="4">
                  <c:v>-39</c:v>
                </c:pt>
                <c:pt idx="5">
                  <c:v>-33</c:v>
                </c:pt>
                <c:pt idx="6">
                  <c:v>-27</c:v>
                </c:pt>
                <c:pt idx="7">
                  <c:v>-21</c:v>
                </c:pt>
                <c:pt idx="8">
                  <c:v>-15</c:v>
                </c:pt>
                <c:pt idx="9">
                  <c:v>-9</c:v>
                </c:pt>
                <c:pt idx="10">
                  <c:v>-3</c:v>
                </c:pt>
                <c:pt idx="11">
                  <c:v>3</c:v>
                </c:pt>
                <c:pt idx="12">
                  <c:v>9</c:v>
                </c:pt>
                <c:pt idx="13">
                  <c:v>15</c:v>
                </c:pt>
                <c:pt idx="14">
                  <c:v>21</c:v>
                </c:pt>
                <c:pt idx="15">
                  <c:v>27</c:v>
                </c:pt>
                <c:pt idx="16">
                  <c:v>33</c:v>
                </c:pt>
                <c:pt idx="17">
                  <c:v>39</c:v>
                </c:pt>
                <c:pt idx="18">
                  <c:v>45</c:v>
                </c:pt>
                <c:pt idx="19">
                  <c:v>51</c:v>
                </c:pt>
                <c:pt idx="20">
                  <c:v>57</c:v>
                </c:pt>
                <c:pt idx="21">
                  <c:v>63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0</c:v>
                </c:pt>
                <c:pt idx="1">
                  <c:v>7</c:v>
                </c:pt>
                <c:pt idx="2">
                  <c:v>19</c:v>
                </c:pt>
                <c:pt idx="3">
                  <c:v>23</c:v>
                </c:pt>
                <c:pt idx="4">
                  <c:v>41</c:v>
                </c:pt>
                <c:pt idx="5">
                  <c:v>51</c:v>
                </c:pt>
                <c:pt idx="6">
                  <c:v>71</c:v>
                </c:pt>
                <c:pt idx="7">
                  <c:v>85</c:v>
                </c:pt>
                <c:pt idx="8">
                  <c:v>88</c:v>
                </c:pt>
                <c:pt idx="9">
                  <c:v>109</c:v>
                </c:pt>
                <c:pt idx="10">
                  <c:v>98</c:v>
                </c:pt>
                <c:pt idx="11">
                  <c:v>91</c:v>
                </c:pt>
                <c:pt idx="12">
                  <c:v>90</c:v>
                </c:pt>
                <c:pt idx="13">
                  <c:v>64</c:v>
                </c:pt>
                <c:pt idx="14">
                  <c:v>51</c:v>
                </c:pt>
                <c:pt idx="15">
                  <c:v>37</c:v>
                </c:pt>
                <c:pt idx="16">
                  <c:v>30</c:v>
                </c:pt>
                <c:pt idx="17">
                  <c:v>20</c:v>
                </c:pt>
                <c:pt idx="18">
                  <c:v>9</c:v>
                </c:pt>
                <c:pt idx="19">
                  <c:v>10</c:v>
                </c:pt>
                <c:pt idx="20">
                  <c:v>3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DE-4F63-924F-E78A153C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6321551"/>
        <c:axId val="726324463"/>
      </c:barChart>
      <c:catAx>
        <c:axId val="726321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24463"/>
        <c:crosses val="autoZero"/>
        <c:auto val="1"/>
        <c:lblAlgn val="ctr"/>
        <c:lblOffset val="100"/>
        <c:noMultiLvlLbl val="0"/>
      </c:catAx>
      <c:valAx>
        <c:axId val="72632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2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Data'!$A$1:$A$4</c:f>
              <c:numCache>
                <c:formatCode>General</c:formatCode>
                <c:ptCount val="4"/>
                <c:pt idx="0">
                  <c:v>0</c:v>
                </c:pt>
                <c:pt idx="1">
                  <c:v>-57</c:v>
                </c:pt>
                <c:pt idx="2">
                  <c:v>-51</c:v>
                </c:pt>
                <c:pt idx="3">
                  <c:v>-45</c:v>
                </c:pt>
              </c:numCache>
            </c:numRef>
          </c:cat>
          <c:val>
            <c:numRef>
              <c:f>'Histogram Data'!$B$1:$B$4</c:f>
              <c:numCache>
                <c:formatCode>General</c:formatCode>
                <c:ptCount val="4"/>
                <c:pt idx="0">
                  <c:v>0</c:v>
                </c:pt>
                <c:pt idx="1">
                  <c:v>7</c:v>
                </c:pt>
                <c:pt idx="2">
                  <c:v>19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1F-4C5E-9D68-8FE29DDC6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3606063"/>
        <c:axId val="873606895"/>
      </c:barChart>
      <c:catAx>
        <c:axId val="873606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06895"/>
        <c:crosses val="autoZero"/>
        <c:auto val="1"/>
        <c:lblAlgn val="ctr"/>
        <c:lblOffset val="100"/>
        <c:noMultiLvlLbl val="0"/>
      </c:catAx>
      <c:valAx>
        <c:axId val="87360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0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BD9F24-A9FC-4546-8CE0-D8C26F57DD57}">
  <sheetPr codeName="Chart5"/>
  <sheetViews>
    <sheetView tabSelected="1"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889000</xdr:colOff>
          <xdr:row>25</xdr:row>
          <xdr:rowOff>82550</xdr:rowOff>
        </xdr:from>
        <xdr:to>
          <xdr:col>4</xdr:col>
          <xdr:colOff>400050</xdr:colOff>
          <xdr:row>27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703" cy="628719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E31203-53D8-48F9-A9DC-A55B9E5BBA5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7</xdr:row>
      <xdr:rowOff>146050</xdr:rowOff>
    </xdr:from>
    <xdr:to>
      <xdr:col>13</xdr:col>
      <xdr:colOff>231775</xdr:colOff>
      <xdr:row>22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zoomScaleNormal="100" workbookViewId="0">
      <selection activeCell="E4" sqref="E4"/>
    </sheetView>
  </sheetViews>
  <sheetFormatPr defaultRowHeight="14.5" x14ac:dyDescent="0.35"/>
  <cols>
    <col min="1" max="1" width="19.08984375" bestFit="1" customWidth="1"/>
    <col min="2" max="2" width="11.81640625" bestFit="1" customWidth="1"/>
    <col min="3" max="3" width="13.08984375" customWidth="1"/>
    <col min="4" max="4" width="9.81640625" bestFit="1" customWidth="1"/>
    <col min="5" max="5" width="10.453125" bestFit="1" customWidth="1"/>
    <col min="6" max="6" width="10.7265625" customWidth="1"/>
    <col min="7" max="7" width="11.81640625" bestFit="1" customWidth="1"/>
    <col min="8" max="8" width="11" customWidth="1"/>
    <col min="9" max="9" width="9.1796875" bestFit="1" customWidth="1"/>
    <col min="10" max="10" width="9.08984375" bestFit="1" customWidth="1"/>
  </cols>
  <sheetData>
    <row r="1" spans="1:16" x14ac:dyDescent="0.35">
      <c r="A1" t="s">
        <v>0</v>
      </c>
    </row>
    <row r="2" spans="1:16" ht="15" thickBot="1" x14ac:dyDescent="0.4"/>
    <row r="3" spans="1:16" x14ac:dyDescent="0.35">
      <c r="A3" t="s">
        <v>1</v>
      </c>
      <c r="B3" s="5">
        <v>-5</v>
      </c>
      <c r="D3" t="s">
        <v>2</v>
      </c>
      <c r="E3" s="15">
        <v>48.026336006187165</v>
      </c>
      <c r="G3" t="s">
        <v>3</v>
      </c>
      <c r="H3" s="5">
        <v>-7.2342453900630321</v>
      </c>
    </row>
    <row r="4" spans="1:16" ht="15" thickBot="1" x14ac:dyDescent="0.4">
      <c r="A4" t="s">
        <v>4</v>
      </c>
      <c r="B4" s="6">
        <v>-14.144810367162281</v>
      </c>
      <c r="D4" t="s">
        <v>5</v>
      </c>
      <c r="E4" s="7" t="s">
        <v>23</v>
      </c>
      <c r="G4" t="s">
        <v>6</v>
      </c>
      <c r="H4" s="8">
        <v>0.14031297564506531</v>
      </c>
    </row>
    <row r="5" spans="1:16" x14ac:dyDescent="0.35">
      <c r="A5" t="s">
        <v>7</v>
      </c>
      <c r="B5" s="9">
        <v>-68.202533792549502</v>
      </c>
      <c r="H5" s="10"/>
    </row>
    <row r="6" spans="1:16" x14ac:dyDescent="0.35">
      <c r="A6" t="s">
        <v>8</v>
      </c>
      <c r="B6" s="9">
        <v>-22.742513835430145</v>
      </c>
      <c r="E6" t="s">
        <v>9</v>
      </c>
      <c r="H6" s="10"/>
    </row>
    <row r="7" spans="1:16" ht="15" thickBot="1" x14ac:dyDescent="0.4">
      <c r="A7" t="s">
        <v>10</v>
      </c>
      <c r="B7" s="14">
        <v>-13.549730851271191</v>
      </c>
      <c r="E7" t="s">
        <v>11</v>
      </c>
      <c r="H7" s="10"/>
    </row>
    <row r="8" spans="1:16" x14ac:dyDescent="0.35">
      <c r="M8" t="s">
        <v>12</v>
      </c>
    </row>
    <row r="9" spans="1:16" x14ac:dyDescent="0.3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5">
      <c r="A10">
        <v>1</v>
      </c>
      <c r="B10" s="11">
        <f>0.5*CTDC</f>
        <v>-34.101266896274751</v>
      </c>
      <c r="C10" s="11"/>
      <c r="D10" s="11">
        <f>Cland</f>
        <v>-5</v>
      </c>
      <c r="E10" s="11"/>
      <c r="F10" s="11"/>
      <c r="G10" s="11"/>
      <c r="H10" s="11"/>
      <c r="I10" s="11"/>
      <c r="J10" s="11"/>
      <c r="L10">
        <f>B10+D10</f>
        <v>-39.101266896274751</v>
      </c>
      <c r="M10" s="11">
        <f t="shared" ref="M10:M24" si="0">L10/(1+i)^(A10-1)</f>
        <v>-39.101266896274751</v>
      </c>
      <c r="N10" s="11">
        <f>M10</f>
        <v>-39.101266896274751</v>
      </c>
    </row>
    <row r="11" spans="1:16" x14ac:dyDescent="0.35">
      <c r="A11">
        <v>2</v>
      </c>
      <c r="B11" s="11">
        <f>0.5*CTDC</f>
        <v>-34.101266896274751</v>
      </c>
      <c r="C11" s="11">
        <f>WC</f>
        <v>-22.742513835430145</v>
      </c>
      <c r="D11" s="11"/>
      <c r="E11" s="11"/>
      <c r="F11" s="11">
        <f>Cstart</f>
        <v>-13.549730851271191</v>
      </c>
      <c r="G11" s="11"/>
      <c r="H11" s="11"/>
      <c r="I11" s="11"/>
      <c r="J11" s="11"/>
      <c r="L11">
        <f>B11+C11+F11</f>
        <v>-70.393511582976089</v>
      </c>
      <c r="M11" s="11">
        <f t="shared" si="0"/>
        <v>-61.731746534897646</v>
      </c>
      <c r="N11" s="11">
        <f>N10+M11</f>
        <v>-100.83301343117239</v>
      </c>
    </row>
    <row r="12" spans="1:16" x14ac:dyDescent="0.35">
      <c r="A12">
        <v>3</v>
      </c>
      <c r="B12" s="11"/>
      <c r="C12" s="11"/>
      <c r="D12" s="11"/>
      <c r="E12" s="11">
        <f t="shared" ref="E12:E24" si="1">Croyal</f>
        <v>-14.144810367162281</v>
      </c>
      <c r="F12" s="11"/>
      <c r="G12" s="11"/>
      <c r="H12" s="11">
        <f>P12*-CTDC</f>
        <v>9.746142078955323</v>
      </c>
      <c r="I12" s="11">
        <f>0.5*S</f>
        <v>24.013168003093583</v>
      </c>
      <c r="J12" s="11">
        <f>0.5*COS</f>
        <v>-3.6171226950315161</v>
      </c>
      <c r="K12" s="11">
        <f>(1-tax)*(I12-J12-H12)</f>
        <v>11.624696602460354</v>
      </c>
      <c r="L12" s="11">
        <f t="shared" ref="L12:L23" si="2">K12+H12+E12</f>
        <v>7.2260283142533961</v>
      </c>
      <c r="M12" s="11">
        <f t="shared" si="0"/>
        <v>5.5571424125754678</v>
      </c>
      <c r="N12" s="11">
        <f t="shared" ref="N12:N23" si="3">N11+M12</f>
        <v>-95.275871018596916</v>
      </c>
      <c r="P12" s="12">
        <v>0.1429</v>
      </c>
    </row>
    <row r="13" spans="1:16" x14ac:dyDescent="0.35">
      <c r="A13">
        <v>4</v>
      </c>
      <c r="B13" s="11"/>
      <c r="C13" s="11"/>
      <c r="D13" s="11"/>
      <c r="E13" s="11">
        <f t="shared" si="1"/>
        <v>-14.144810367162281</v>
      </c>
      <c r="F13" s="11"/>
      <c r="G13" s="11"/>
      <c r="H13" s="11">
        <f t="shared" ref="H13:H19" si="4">P13*-CTDC</f>
        <v>16.702800525795375</v>
      </c>
      <c r="I13" s="11">
        <f>0.8*S</f>
        <v>38.421068804949734</v>
      </c>
      <c r="J13" s="11">
        <f>0.8*COS</f>
        <v>-5.7873963120504257</v>
      </c>
      <c r="K13" s="11">
        <f t="shared" ref="K13:K24" si="5">(1-tax)*(I13-J13-H13)</f>
        <v>17.878681984283109</v>
      </c>
      <c r="L13" s="11">
        <f t="shared" si="2"/>
        <v>20.436672142916208</v>
      </c>
      <c r="M13" s="11">
        <f t="shared" si="0"/>
        <v>13.782816660524951</v>
      </c>
      <c r="N13" s="11">
        <f t="shared" si="3"/>
        <v>-81.493054358071959</v>
      </c>
      <c r="P13" s="12">
        <v>0.24490000000000001</v>
      </c>
    </row>
    <row r="14" spans="1:16" x14ac:dyDescent="0.35">
      <c r="A14">
        <v>5</v>
      </c>
      <c r="B14" s="11"/>
      <c r="C14" s="11"/>
      <c r="D14" s="11"/>
      <c r="E14" s="11">
        <f t="shared" si="1"/>
        <v>-14.144810367162281</v>
      </c>
      <c r="F14" s="11"/>
      <c r="G14" s="11"/>
      <c r="H14" s="11">
        <f t="shared" si="4"/>
        <v>11.928623160316908</v>
      </c>
      <c r="I14" s="11">
        <f t="shared" ref="I14:I24" si="6">S</f>
        <v>48.026336006187165</v>
      </c>
      <c r="J14" s="11">
        <f t="shared" ref="J14:J24" si="7">COS</f>
        <v>-7.2342453900630321</v>
      </c>
      <c r="K14" s="11">
        <f t="shared" si="5"/>
        <v>28.165772853356636</v>
      </c>
      <c r="L14" s="11">
        <f t="shared" si="2"/>
        <v>25.949585646511267</v>
      </c>
      <c r="M14" s="11">
        <f t="shared" si="0"/>
        <v>15.347377047355868</v>
      </c>
      <c r="N14" s="11">
        <f t="shared" si="3"/>
        <v>-66.145677310716096</v>
      </c>
      <c r="P14" s="12">
        <v>0.1749</v>
      </c>
    </row>
    <row r="15" spans="1:16" x14ac:dyDescent="0.35">
      <c r="A15">
        <v>6</v>
      </c>
      <c r="B15" s="11"/>
      <c r="C15" s="11"/>
      <c r="D15" s="11"/>
      <c r="E15" s="11">
        <f t="shared" si="1"/>
        <v>-14.144810367162281</v>
      </c>
      <c r="F15" s="11"/>
      <c r="G15" s="11"/>
      <c r="H15" s="11">
        <f t="shared" si="4"/>
        <v>8.5184964706894331</v>
      </c>
      <c r="I15" s="11">
        <f t="shared" si="6"/>
        <v>48.026336006187165</v>
      </c>
      <c r="J15" s="11">
        <f t="shared" si="7"/>
        <v>-7.2342453900630321</v>
      </c>
      <c r="K15" s="11">
        <f t="shared" si="5"/>
        <v>30.382355201614494</v>
      </c>
      <c r="L15" s="11">
        <f t="shared" si="2"/>
        <v>24.75604130514165</v>
      </c>
      <c r="M15" s="11">
        <f t="shared" si="0"/>
        <v>12.839877125260706</v>
      </c>
      <c r="N15" s="11">
        <f t="shared" si="3"/>
        <v>-53.305800185455389</v>
      </c>
      <c r="P15" s="12">
        <v>0.1249</v>
      </c>
    </row>
    <row r="16" spans="1:16" x14ac:dyDescent="0.35">
      <c r="A16">
        <v>7</v>
      </c>
      <c r="B16" s="11"/>
      <c r="C16" s="11"/>
      <c r="D16" s="11"/>
      <c r="E16" s="11">
        <f t="shared" si="1"/>
        <v>-14.144810367162281</v>
      </c>
      <c r="F16" s="11"/>
      <c r="G16" s="11"/>
      <c r="H16" s="11">
        <f t="shared" si="4"/>
        <v>6.0904862676746712</v>
      </c>
      <c r="I16" s="11">
        <f t="shared" si="6"/>
        <v>48.026336006187165</v>
      </c>
      <c r="J16" s="11">
        <f t="shared" si="7"/>
        <v>-7.2342453900630321</v>
      </c>
      <c r="K16" s="11">
        <f t="shared" si="5"/>
        <v>31.960561833574094</v>
      </c>
      <c r="L16" s="11">
        <f t="shared" si="2"/>
        <v>23.906237734086488</v>
      </c>
      <c r="M16" s="11">
        <f t="shared" si="0"/>
        <v>10.873436856850258</v>
      </c>
      <c r="N16" s="11">
        <f t="shared" si="3"/>
        <v>-42.432363328605135</v>
      </c>
      <c r="P16" s="12">
        <v>8.9300000000000004E-2</v>
      </c>
    </row>
    <row r="17" spans="1:16" x14ac:dyDescent="0.35">
      <c r="A17">
        <v>8</v>
      </c>
      <c r="B17" s="11"/>
      <c r="C17" s="11"/>
      <c r="D17" s="11"/>
      <c r="E17" s="11">
        <f t="shared" si="1"/>
        <v>-14.144810367162281</v>
      </c>
      <c r="F17" s="11"/>
      <c r="G17" s="11"/>
      <c r="H17" s="11">
        <f t="shared" si="4"/>
        <v>6.0836660142954155</v>
      </c>
      <c r="I17" s="11">
        <f t="shared" si="6"/>
        <v>48.026336006187165</v>
      </c>
      <c r="J17" s="11">
        <f t="shared" si="7"/>
        <v>-7.2342453900630321</v>
      </c>
      <c r="K17" s="11">
        <f t="shared" si="5"/>
        <v>31.964994998270608</v>
      </c>
      <c r="L17" s="11">
        <f t="shared" si="2"/>
        <v>23.903850645403743</v>
      </c>
      <c r="M17" s="11">
        <f t="shared" si="0"/>
        <v>9.5345324952594961</v>
      </c>
      <c r="N17" s="11">
        <f t="shared" si="3"/>
        <v>-32.897830833345637</v>
      </c>
      <c r="P17" s="12">
        <v>8.9200000000000002E-2</v>
      </c>
    </row>
    <row r="18" spans="1:16" x14ac:dyDescent="0.35">
      <c r="A18">
        <v>9</v>
      </c>
      <c r="B18" s="11"/>
      <c r="C18" s="11"/>
      <c r="D18" s="11"/>
      <c r="E18" s="11">
        <f t="shared" si="1"/>
        <v>-14.144810367162281</v>
      </c>
      <c r="F18" s="11"/>
      <c r="G18" s="11"/>
      <c r="H18" s="11">
        <f t="shared" si="4"/>
        <v>6.0904862676746712</v>
      </c>
      <c r="I18" s="11">
        <f t="shared" si="6"/>
        <v>48.026336006187165</v>
      </c>
      <c r="J18" s="11">
        <f t="shared" si="7"/>
        <v>-7.2342453900630321</v>
      </c>
      <c r="K18" s="11">
        <f t="shared" si="5"/>
        <v>31.960561833574094</v>
      </c>
      <c r="L18" s="11">
        <f t="shared" si="2"/>
        <v>23.906237734086488</v>
      </c>
      <c r="M18" s="11">
        <f t="shared" si="0"/>
        <v>8.3621644560227679</v>
      </c>
      <c r="N18" s="11">
        <f t="shared" si="3"/>
        <v>-24.535666377322869</v>
      </c>
      <c r="P18" s="12">
        <v>8.9300000000000004E-2</v>
      </c>
    </row>
    <row r="19" spans="1:16" x14ac:dyDescent="0.35">
      <c r="A19">
        <v>10</v>
      </c>
      <c r="B19" s="11"/>
      <c r="C19" s="11"/>
      <c r="D19" s="11"/>
      <c r="E19" s="11">
        <f t="shared" si="1"/>
        <v>-14.144810367162281</v>
      </c>
      <c r="F19" s="11"/>
      <c r="G19" s="11"/>
      <c r="H19" s="11">
        <f t="shared" si="4"/>
        <v>3.0418330071477078</v>
      </c>
      <c r="I19" s="11">
        <f t="shared" si="6"/>
        <v>48.026336006187165</v>
      </c>
      <c r="J19" s="11">
        <f t="shared" si="7"/>
        <v>-7.2342453900630321</v>
      </c>
      <c r="K19" s="11">
        <f t="shared" si="5"/>
        <v>33.942186452916616</v>
      </c>
      <c r="L19" s="11">
        <f t="shared" si="2"/>
        <v>22.839209092902045</v>
      </c>
      <c r="M19" s="11">
        <f t="shared" si="0"/>
        <v>7.0059085607778844</v>
      </c>
      <c r="N19" s="11">
        <f t="shared" si="3"/>
        <v>-17.529757816544986</v>
      </c>
      <c r="P19" s="12">
        <v>4.4600000000000001E-2</v>
      </c>
    </row>
    <row r="20" spans="1:16" x14ac:dyDescent="0.35">
      <c r="A20">
        <v>11</v>
      </c>
      <c r="B20" s="11"/>
      <c r="C20" s="11"/>
      <c r="D20" s="11"/>
      <c r="E20" s="11">
        <f t="shared" si="1"/>
        <v>-14.144810367162281</v>
      </c>
      <c r="F20" s="11"/>
      <c r="G20" s="11"/>
      <c r="H20" s="11"/>
      <c r="I20" s="11">
        <f t="shared" si="6"/>
        <v>48.026336006187165</v>
      </c>
      <c r="J20" s="11">
        <f t="shared" si="7"/>
        <v>-7.2342453900630321</v>
      </c>
      <c r="K20" s="11">
        <f t="shared" si="5"/>
        <v>35.919377907562627</v>
      </c>
      <c r="L20" s="11">
        <f t="shared" si="2"/>
        <v>21.774567540400348</v>
      </c>
      <c r="M20" s="11">
        <f t="shared" si="0"/>
        <v>5.8574538612541227</v>
      </c>
      <c r="N20" s="11">
        <f t="shared" si="3"/>
        <v>-11.672303955290865</v>
      </c>
    </row>
    <row r="21" spans="1:16" x14ac:dyDescent="0.35">
      <c r="A21">
        <v>12</v>
      </c>
      <c r="B21" s="11"/>
      <c r="C21" s="11"/>
      <c r="D21" s="11"/>
      <c r="E21" s="11">
        <f t="shared" si="1"/>
        <v>-14.144810367162281</v>
      </c>
      <c r="F21" s="11"/>
      <c r="G21" s="11"/>
      <c r="H21" s="11"/>
      <c r="I21" s="11">
        <f t="shared" si="6"/>
        <v>48.026336006187165</v>
      </c>
      <c r="J21" s="11">
        <f t="shared" si="7"/>
        <v>-7.2342453900630321</v>
      </c>
      <c r="K21" s="11">
        <f t="shared" si="5"/>
        <v>35.919377907562627</v>
      </c>
      <c r="L21" s="11">
        <f t="shared" si="2"/>
        <v>21.774567540400348</v>
      </c>
      <c r="M21" s="11">
        <f t="shared" si="0"/>
        <v>5.1367071903576393</v>
      </c>
      <c r="N21" s="11">
        <f t="shared" si="3"/>
        <v>-6.5355967649332252</v>
      </c>
    </row>
    <row r="22" spans="1:16" x14ac:dyDescent="0.35">
      <c r="A22">
        <v>13</v>
      </c>
      <c r="B22" s="11"/>
      <c r="C22" s="11"/>
      <c r="D22" s="11"/>
      <c r="E22" s="11">
        <f t="shared" si="1"/>
        <v>-14.144810367162281</v>
      </c>
      <c r="F22" s="11"/>
      <c r="G22" s="11"/>
      <c r="H22" s="11"/>
      <c r="I22" s="11">
        <f t="shared" si="6"/>
        <v>48.026336006187165</v>
      </c>
      <c r="J22" s="11">
        <f t="shared" si="7"/>
        <v>-7.2342453900630321</v>
      </c>
      <c r="K22" s="11">
        <f t="shared" si="5"/>
        <v>35.919377907562627</v>
      </c>
      <c r="L22" s="11">
        <f t="shared" si="2"/>
        <v>21.774567540400348</v>
      </c>
      <c r="M22" s="11">
        <f t="shared" si="0"/>
        <v>4.5046467944047093</v>
      </c>
      <c r="N22" s="11">
        <f t="shared" si="3"/>
        <v>-2.0309499705285159</v>
      </c>
    </row>
    <row r="23" spans="1:16" ht="15" thickBot="1" x14ac:dyDescent="0.4">
      <c r="A23">
        <v>14</v>
      </c>
      <c r="B23" s="11"/>
      <c r="C23" s="11"/>
      <c r="D23" s="11"/>
      <c r="E23" s="11">
        <f t="shared" si="1"/>
        <v>-14.144810367162281</v>
      </c>
      <c r="F23" s="11"/>
      <c r="G23" s="11"/>
      <c r="H23" s="11"/>
      <c r="I23" s="11">
        <f t="shared" si="6"/>
        <v>48.026336006187165</v>
      </c>
      <c r="J23" s="11">
        <f t="shared" si="7"/>
        <v>-7.2342453900630321</v>
      </c>
      <c r="K23" s="11">
        <f t="shared" si="5"/>
        <v>35.919377907562627</v>
      </c>
      <c r="L23" s="11">
        <f t="shared" si="2"/>
        <v>21.774567540400348</v>
      </c>
      <c r="M23" s="11">
        <f t="shared" si="0"/>
        <v>3.9503600244980714</v>
      </c>
      <c r="N23" s="11">
        <f t="shared" si="3"/>
        <v>1.9194100539695556</v>
      </c>
    </row>
    <row r="24" spans="1:16" ht="15" thickBot="1" x14ac:dyDescent="0.4">
      <c r="A24">
        <v>15</v>
      </c>
      <c r="B24" s="11"/>
      <c r="C24" s="11">
        <f>-WC</f>
        <v>22.742513835430145</v>
      </c>
      <c r="D24" s="11"/>
      <c r="E24" s="11">
        <f t="shared" si="1"/>
        <v>-14.144810367162281</v>
      </c>
      <c r="F24" s="11"/>
      <c r="G24" s="11"/>
      <c r="H24" s="11"/>
      <c r="I24" s="11">
        <f t="shared" si="6"/>
        <v>48.026336006187165</v>
      </c>
      <c r="J24" s="11">
        <f t="shared" si="7"/>
        <v>-7.2342453900630321</v>
      </c>
      <c r="K24" s="11">
        <f t="shared" si="5"/>
        <v>35.919377907562627</v>
      </c>
      <c r="L24" s="11">
        <f>C24+K24+G24+E24</f>
        <v>44.517081375830493</v>
      </c>
      <c r="M24" s="11">
        <f t="shared" si="0"/>
        <v>7.082551753474954</v>
      </c>
      <c r="N24" s="13">
        <f>N23+M24</f>
        <v>9.0019618074445091</v>
      </c>
    </row>
    <row r="25" spans="1:16" x14ac:dyDescent="0.35">
      <c r="C25" s="3"/>
      <c r="D25" s="2"/>
      <c r="E25" s="4"/>
      <c r="F25" s="2"/>
      <c r="G25" s="1"/>
      <c r="H25" s="1"/>
    </row>
    <row r="26" spans="1:16" x14ac:dyDescent="0.35">
      <c r="C26" s="3"/>
      <c r="D26" s="2"/>
      <c r="E26" s="4"/>
      <c r="F26" s="2"/>
      <c r="G26" s="1"/>
      <c r="H26" s="1"/>
    </row>
    <row r="27" spans="1:16" x14ac:dyDescent="0.3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889000</xdr:colOff>
                    <xdr:row>25</xdr:row>
                    <xdr:rowOff>82550</xdr:rowOff>
                  </from>
                  <to>
                    <xdr:col>4</xdr:col>
                    <xdr:colOff>400050</xdr:colOff>
                    <xdr:row>27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2"/>
  <sheetViews>
    <sheetView workbookViewId="0">
      <selection sqref="A1:B22"/>
    </sheetView>
  </sheetViews>
  <sheetFormatPr defaultRowHeight="14.5" x14ac:dyDescent="0.35"/>
  <sheetData>
    <row r="1" spans="1:2" x14ac:dyDescent="0.35">
      <c r="A1">
        <v>0</v>
      </c>
      <c r="B1">
        <v>0</v>
      </c>
    </row>
    <row r="2" spans="1:2" x14ac:dyDescent="0.35">
      <c r="A2">
        <v>-57</v>
      </c>
      <c r="B2">
        <v>7</v>
      </c>
    </row>
    <row r="3" spans="1:2" x14ac:dyDescent="0.35">
      <c r="A3">
        <v>-51</v>
      </c>
      <c r="B3">
        <v>19</v>
      </c>
    </row>
    <row r="4" spans="1:2" x14ac:dyDescent="0.35">
      <c r="A4">
        <v>-45</v>
      </c>
      <c r="B4">
        <v>23</v>
      </c>
    </row>
    <row r="5" spans="1:2" x14ac:dyDescent="0.35">
      <c r="A5">
        <v>-39</v>
      </c>
      <c r="B5">
        <v>41</v>
      </c>
    </row>
    <row r="6" spans="1:2" x14ac:dyDescent="0.35">
      <c r="A6">
        <v>-33</v>
      </c>
      <c r="B6">
        <v>51</v>
      </c>
    </row>
    <row r="7" spans="1:2" x14ac:dyDescent="0.35">
      <c r="A7">
        <v>-27</v>
      </c>
      <c r="B7">
        <v>71</v>
      </c>
    </row>
    <row r="8" spans="1:2" x14ac:dyDescent="0.35">
      <c r="A8">
        <v>-21</v>
      </c>
      <c r="B8">
        <v>85</v>
      </c>
    </row>
    <row r="9" spans="1:2" x14ac:dyDescent="0.35">
      <c r="A9">
        <v>-15</v>
      </c>
      <c r="B9">
        <v>88</v>
      </c>
    </row>
    <row r="10" spans="1:2" x14ac:dyDescent="0.35">
      <c r="A10">
        <v>-9</v>
      </c>
      <c r="B10">
        <v>109</v>
      </c>
    </row>
    <row r="11" spans="1:2" x14ac:dyDescent="0.35">
      <c r="A11">
        <v>-3</v>
      </c>
      <c r="B11">
        <v>98</v>
      </c>
    </row>
    <row r="12" spans="1:2" x14ac:dyDescent="0.35">
      <c r="A12">
        <v>3</v>
      </c>
      <c r="B12">
        <v>91</v>
      </c>
    </row>
    <row r="13" spans="1:2" x14ac:dyDescent="0.35">
      <c r="A13">
        <v>9</v>
      </c>
      <c r="B13">
        <v>90</v>
      </c>
    </row>
    <row r="14" spans="1:2" x14ac:dyDescent="0.35">
      <c r="A14">
        <v>15</v>
      </c>
      <c r="B14">
        <v>64</v>
      </c>
    </row>
    <row r="15" spans="1:2" x14ac:dyDescent="0.35">
      <c r="A15">
        <v>21</v>
      </c>
      <c r="B15">
        <v>51</v>
      </c>
    </row>
    <row r="16" spans="1:2" x14ac:dyDescent="0.35">
      <c r="A16">
        <v>27</v>
      </c>
      <c r="B16">
        <v>37</v>
      </c>
    </row>
    <row r="17" spans="1:2" x14ac:dyDescent="0.35">
      <c r="A17">
        <v>33</v>
      </c>
      <c r="B17">
        <v>30</v>
      </c>
    </row>
    <row r="18" spans="1:2" x14ac:dyDescent="0.35">
      <c r="A18">
        <v>39</v>
      </c>
      <c r="B18">
        <v>20</v>
      </c>
    </row>
    <row r="19" spans="1:2" x14ac:dyDescent="0.35">
      <c r="A19">
        <v>45</v>
      </c>
      <c r="B19">
        <v>9</v>
      </c>
    </row>
    <row r="20" spans="1:2" x14ac:dyDescent="0.35">
      <c r="A20">
        <v>51</v>
      </c>
      <c r="B20">
        <v>10</v>
      </c>
    </row>
    <row r="21" spans="1:2" x14ac:dyDescent="0.35">
      <c r="A21">
        <v>57</v>
      </c>
      <c r="B21">
        <v>3</v>
      </c>
    </row>
    <row r="22" spans="1:2" x14ac:dyDescent="0.35">
      <c r="A22">
        <v>63</v>
      </c>
      <c r="B22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Itrat Hossain</cp:lastModifiedBy>
  <dcterms:created xsi:type="dcterms:W3CDTF">2013-10-29T18:00:12Z</dcterms:created>
  <dcterms:modified xsi:type="dcterms:W3CDTF">2022-01-26T08:31:19Z</dcterms:modified>
</cp:coreProperties>
</file>